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k\OneDrive\Documentos\software\"/>
    </mc:Choice>
  </mc:AlternateContent>
  <xr:revisionPtr revIDLastSave="2234" documentId="8_{CE1E8484-2A83-43EB-A39B-C73D1FB931F8}" xr6:coauthVersionLast="41" xr6:coauthVersionMax="41" xr10:uidLastSave="{99A65922-13B8-4A9B-B44E-AE0C0955D6F1}"/>
  <bookViews>
    <workbookView xWindow="-120" yWindow="-120" windowWidth="20730" windowHeight="11160" firstSheet="2" activeTab="2" xr2:uid="{7835EB97-20AE-40CA-9310-F9DA70B926A2}"/>
  </bookViews>
  <sheets>
    <sheet name="Hoja20" sheetId="30" r:id="rId1"/>
    <sheet name="Hoja21" sheetId="31" r:id="rId2"/>
    <sheet name="Hoja3" sheetId="47" r:id="rId3"/>
    <sheet name="Hoja2" sheetId="2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2" l="1"/>
  <c r="G12" i="2"/>
  <c r="H12" i="2"/>
  <c r="E12" i="2"/>
  <c r="F11" i="2"/>
  <c r="G11" i="2" s="1"/>
  <c r="H11" i="2" s="1"/>
  <c r="F4" i="2"/>
  <c r="G4" i="2"/>
  <c r="H4" i="2" s="1"/>
  <c r="H3" i="2"/>
  <c r="G3" i="2"/>
  <c r="F3" i="2"/>
  <c r="E4" i="2"/>
  <c r="E5" i="2"/>
  <c r="E6" i="2"/>
  <c r="E7" i="2"/>
  <c r="E8" i="2"/>
  <c r="E9" i="2"/>
  <c r="E10" i="2"/>
  <c r="E11" i="2"/>
  <c r="E3" i="2"/>
  <c r="H2" i="2"/>
  <c r="B4" i="2"/>
  <c r="F5" i="2" l="1"/>
  <c r="G5" i="2" s="1"/>
  <c r="H5" i="2" s="1"/>
  <c r="F6" i="2" l="1"/>
  <c r="G6" i="2" s="1"/>
  <c r="H6" i="2" s="1"/>
  <c r="F7" i="2" l="1"/>
  <c r="G7" i="2" s="1"/>
  <c r="H7" i="2" s="1"/>
  <c r="F8" i="2" l="1"/>
  <c r="G8" i="2" s="1"/>
  <c r="H8" i="2" s="1"/>
  <c r="F9" i="2" l="1"/>
  <c r="G9" i="2" s="1"/>
  <c r="H9" i="2" s="1"/>
  <c r="F10" i="2" l="1"/>
  <c r="G10" i="2" s="1"/>
  <c r="H10" i="2" s="1"/>
</calcChain>
</file>

<file path=xl/sharedStrings.xml><?xml version="1.0" encoding="utf-8"?>
<sst xmlns="http://schemas.openxmlformats.org/spreadsheetml/2006/main" count="39" uniqueCount="11">
  <si>
    <t>Deuda</t>
  </si>
  <si>
    <t>Pago</t>
  </si>
  <si>
    <t>Tasa de interes</t>
  </si>
  <si>
    <t>Numero de pagos</t>
  </si>
  <si>
    <t>Pago fraccionario</t>
  </si>
  <si>
    <t>Periodo</t>
  </si>
  <si>
    <t>Intereses</t>
  </si>
  <si>
    <t>Abono o capital</t>
  </si>
  <si>
    <t>Saldo insoluto</t>
  </si>
  <si>
    <t>Abono a capital</t>
  </si>
  <si>
    <t>pago incompleto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</si>
</sst>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91A28-EF35-4EF7-9D42-B7D2A081FAED}">
  <sheetPr codeName="Hoja20"/>
  <dimension ref="A1:H12"/>
  <sheetViews>
    <sheetView workbookViewId="0"/>
  </sheetViews>
  <sheetFormatPr baseColWidth="10" defaultRowHeight="15" x14ac:dyDescent="0.25"/>
  <cols>
    <col min="1" max="1" width="16.7109375" bestFit="1" customWidth="1"/>
    <col min="7" max="7" width="14.7109375" bestFit="1" customWidth="1"/>
    <col min="8" max="8" width="13.5703125" bestFit="1" customWidth="1"/>
  </cols>
  <sheetData>
    <row r="1" spans="1:8" x14ac:dyDescent="0.25">
      <c r="A1" t="s">
        <v>0</v>
      </c>
      <c r="B1">
        <v>25000</v>
      </c>
      <c r="D1" t="s">
        <v>5</v>
      </c>
      <c r="E1" t="s">
        <v>1</v>
      </c>
      <c r="F1" t="s">
        <v>6</v>
      </c>
      <c r="G1" t="s">
        <v>7</v>
      </c>
      <c r="H1" t="s">
        <v>8</v>
      </c>
    </row>
    <row r="2" spans="1:8" x14ac:dyDescent="0.25">
      <c r="A2" t="s">
        <v>1</v>
      </c>
      <c r="B2">
        <v>3000</v>
      </c>
      <c r="D2">
        <v>0</v>
      </c>
      <c r="H2">
        <v>25000</v>
      </c>
    </row>
    <row r="3" spans="1:8" x14ac:dyDescent="0.25">
      <c r="A3" t="s">
        <v>2</v>
      </c>
      <c r="B3">
        <v>1.9999999552965164E-2</v>
      </c>
      <c r="D3">
        <v>1</v>
      </c>
      <c r="E3">
        <v>3000</v>
      </c>
      <c r="F3">
        <v>499.9999888241291</v>
      </c>
      <c r="G3">
        <v>2500.0000111758709</v>
      </c>
      <c r="H3">
        <v>22499.999988824129</v>
      </c>
    </row>
    <row r="4" spans="1:8" x14ac:dyDescent="0.25">
      <c r="A4" t="s">
        <v>3</v>
      </c>
      <c r="B4">
        <v>9</v>
      </c>
      <c r="D4">
        <v>2</v>
      </c>
      <c r="E4">
        <v>3000</v>
      </c>
      <c r="F4">
        <v>449.99998971819878</v>
      </c>
      <c r="G4">
        <v>2550.0000102818012</v>
      </c>
      <c r="H4">
        <v>19949.999978542328</v>
      </c>
    </row>
    <row r="5" spans="1:8" x14ac:dyDescent="0.25">
      <c r="A5" t="s">
        <v>10</v>
      </c>
      <c r="D5">
        <v>3</v>
      </c>
      <c r="E5">
        <v>3000</v>
      </c>
      <c r="F5">
        <v>398.99999065250159</v>
      </c>
      <c r="G5">
        <v>2601.0000093474982</v>
      </c>
      <c r="H5">
        <v>17348.999969194829</v>
      </c>
    </row>
    <row r="6" spans="1:8" x14ac:dyDescent="0.25">
      <c r="D6">
        <v>4</v>
      </c>
      <c r="E6">
        <v>3000</v>
      </c>
      <c r="F6">
        <v>346.97999162828921</v>
      </c>
      <c r="G6">
        <v>2653.0200083717109</v>
      </c>
      <c r="H6">
        <v>14695.979960823119</v>
      </c>
    </row>
    <row r="7" spans="1:8" x14ac:dyDescent="0.25">
      <c r="D7">
        <v>5</v>
      </c>
      <c r="E7">
        <v>3000</v>
      </c>
      <c r="F7">
        <v>293.91959264684738</v>
      </c>
      <c r="G7">
        <v>2706.0804073531526</v>
      </c>
      <c r="H7">
        <v>11989.899553469966</v>
      </c>
    </row>
    <row r="8" spans="1:8" x14ac:dyDescent="0.25">
      <c r="D8">
        <v>6</v>
      </c>
      <c r="E8">
        <v>3000</v>
      </c>
      <c r="F8">
        <v>239.79798570949654</v>
      </c>
      <c r="G8">
        <v>2760.2020142905035</v>
      </c>
      <c r="H8">
        <v>9229.6975391794622</v>
      </c>
    </row>
    <row r="9" spans="1:8" x14ac:dyDescent="0.25">
      <c r="D9">
        <v>7</v>
      </c>
      <c r="E9">
        <v>3000</v>
      </c>
      <c r="F9">
        <v>184.59394665759291</v>
      </c>
      <c r="G9">
        <v>2815.4060533424072</v>
      </c>
      <c r="H9">
        <v>6414.291485837055</v>
      </c>
    </row>
    <row r="10" spans="1:8" x14ac:dyDescent="0.25">
      <c r="D10">
        <v>8</v>
      </c>
      <c r="E10">
        <v>3000</v>
      </c>
      <c r="F10">
        <v>128.28582684932937</v>
      </c>
      <c r="G10">
        <v>2871.7141731506708</v>
      </c>
      <c r="H10">
        <v>3542.5773126863842</v>
      </c>
    </row>
    <row r="11" spans="1:8" x14ac:dyDescent="0.25">
      <c r="D11">
        <v>9</v>
      </c>
      <c r="E11">
        <v>3000</v>
      </c>
      <c r="F11">
        <v>70.851544670072215</v>
      </c>
      <c r="G11">
        <v>2929.1484553299279</v>
      </c>
      <c r="H11">
        <v>613.42885735645632</v>
      </c>
    </row>
    <row r="12" spans="1:8" x14ac:dyDescent="0.25">
      <c r="E12">
        <v>3000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B3D4A-18F9-45F9-930A-D6DEB870E6CE}">
  <sheetPr codeName="Hoja21"/>
  <dimension ref="A1:H12"/>
  <sheetViews>
    <sheetView workbookViewId="0">
      <selection activeCell="G14" sqref="G14"/>
    </sheetView>
  </sheetViews>
  <sheetFormatPr baseColWidth="10" defaultRowHeight="15" x14ac:dyDescent="0.25"/>
  <cols>
    <col min="1" max="1" width="16.7109375" bestFit="1" customWidth="1"/>
    <col min="7" max="7" width="14.7109375" bestFit="1" customWidth="1"/>
    <col min="8" max="8" width="13.5703125" bestFit="1" customWidth="1"/>
  </cols>
  <sheetData>
    <row r="1" spans="1:8" x14ac:dyDescent="0.25">
      <c r="A1" t="s">
        <v>0</v>
      </c>
      <c r="B1">
        <v>25000</v>
      </c>
      <c r="D1" t="s">
        <v>5</v>
      </c>
      <c r="E1" t="s">
        <v>1</v>
      </c>
      <c r="F1" t="s">
        <v>6</v>
      </c>
      <c r="G1" t="s">
        <v>7</v>
      </c>
      <c r="H1" t="s">
        <v>8</v>
      </c>
    </row>
    <row r="2" spans="1:8" x14ac:dyDescent="0.25">
      <c r="A2" t="s">
        <v>1</v>
      </c>
      <c r="B2">
        <v>3000</v>
      </c>
      <c r="D2">
        <v>0</v>
      </c>
      <c r="H2">
        <v>25000</v>
      </c>
    </row>
    <row r="3" spans="1:8" x14ac:dyDescent="0.25">
      <c r="A3" t="s">
        <v>2</v>
      </c>
      <c r="B3">
        <v>1.9999999552965164E-2</v>
      </c>
      <c r="D3">
        <v>1</v>
      </c>
      <c r="E3">
        <v>3000</v>
      </c>
      <c r="F3">
        <v>499.9999888241291</v>
      </c>
      <c r="G3">
        <v>2500.0000111758709</v>
      </c>
      <c r="H3">
        <v>22499.999988824129</v>
      </c>
    </row>
    <row r="4" spans="1:8" x14ac:dyDescent="0.25">
      <c r="A4" t="s">
        <v>3</v>
      </c>
      <c r="B4">
        <v>9</v>
      </c>
      <c r="D4">
        <v>2</v>
      </c>
      <c r="E4">
        <v>3000</v>
      </c>
      <c r="F4">
        <v>449.99998971819878</v>
      </c>
      <c r="G4">
        <v>2550.0000102818012</v>
      </c>
      <c r="H4">
        <v>19949.999978542328</v>
      </c>
    </row>
    <row r="5" spans="1:8" x14ac:dyDescent="0.25">
      <c r="A5" t="s">
        <v>10</v>
      </c>
      <c r="D5">
        <v>3</v>
      </c>
      <c r="E5">
        <v>3000</v>
      </c>
      <c r="F5">
        <v>398.99999065250159</v>
      </c>
      <c r="G5">
        <v>2601.0000093474982</v>
      </c>
      <c r="H5">
        <v>17348.999969194829</v>
      </c>
    </row>
    <row r="6" spans="1:8" x14ac:dyDescent="0.25">
      <c r="D6">
        <v>4</v>
      </c>
      <c r="E6">
        <v>3000</v>
      </c>
      <c r="F6">
        <v>346.97999162828921</v>
      </c>
      <c r="G6">
        <v>2653.0200083717109</v>
      </c>
      <c r="H6">
        <v>14695.979960823119</v>
      </c>
    </row>
    <row r="7" spans="1:8" x14ac:dyDescent="0.25">
      <c r="D7">
        <v>5</v>
      </c>
      <c r="E7">
        <v>3000</v>
      </c>
      <c r="F7">
        <v>293.91959264684738</v>
      </c>
      <c r="G7">
        <v>2706.0804073531526</v>
      </c>
      <c r="H7">
        <v>11989.899553469966</v>
      </c>
    </row>
    <row r="8" spans="1:8" x14ac:dyDescent="0.25">
      <c r="D8">
        <v>6</v>
      </c>
      <c r="E8">
        <v>3000</v>
      </c>
      <c r="F8">
        <v>239.79798570949654</v>
      </c>
      <c r="G8">
        <v>2760.2020142905035</v>
      </c>
      <c r="H8">
        <v>9229.6975391794622</v>
      </c>
    </row>
    <row r="9" spans="1:8" x14ac:dyDescent="0.25">
      <c r="D9">
        <v>7</v>
      </c>
      <c r="E9">
        <v>3000</v>
      </c>
      <c r="F9">
        <v>184.59394665759291</v>
      </c>
      <c r="G9">
        <v>2815.4060533424072</v>
      </c>
      <c r="H9">
        <v>6414.291485837055</v>
      </c>
    </row>
    <row r="10" spans="1:8" x14ac:dyDescent="0.25">
      <c r="D10">
        <v>8</v>
      </c>
      <c r="E10">
        <v>3000</v>
      </c>
      <c r="F10">
        <v>128.28582684932937</v>
      </c>
      <c r="G10">
        <v>2871.7141731506708</v>
      </c>
      <c r="H10">
        <v>3542.5773126863842</v>
      </c>
    </row>
    <row r="11" spans="1:8" x14ac:dyDescent="0.25">
      <c r="D11">
        <v>9</v>
      </c>
      <c r="E11">
        <v>3000</v>
      </c>
      <c r="F11">
        <v>70.851544670072215</v>
      </c>
      <c r="G11">
        <v>2929.1484553299279</v>
      </c>
      <c r="H11">
        <v>613.42885735645632</v>
      </c>
    </row>
    <row r="12" spans="1:8" x14ac:dyDescent="0.25">
      <c r="E12">
        <v>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0EB8B-D3DA-45D5-9C7B-32A83090CB75}">
  <sheetPr codeName="Hoja3"/>
  <dimension ref="A1:H12"/>
  <sheetViews>
    <sheetView tabSelected="1" workbookViewId="0"/>
  </sheetViews>
  <sheetFormatPr baseColWidth="10" defaultRowHeight="15" x14ac:dyDescent="0.25"/>
  <cols>
    <col min="1" max="1" width="16.7109375" bestFit="1" customWidth="1"/>
    <col min="7" max="7" width="14.7109375" bestFit="1" customWidth="1"/>
    <col min="8" max="8" width="13.5703125" bestFit="1" customWidth="1"/>
  </cols>
  <sheetData>
    <row r="1" spans="1:8" x14ac:dyDescent="0.25">
      <c r="A1" t="s">
        <v>0</v>
      </c>
      <c r="B1">
        <v>25000</v>
      </c>
      <c r="D1" t="s">
        <v>5</v>
      </c>
      <c r="E1" t="s">
        <v>1</v>
      </c>
      <c r="F1" t="s">
        <v>6</v>
      </c>
      <c r="G1" t="s">
        <v>7</v>
      </c>
      <c r="H1" t="s">
        <v>8</v>
      </c>
    </row>
    <row r="2" spans="1:8" x14ac:dyDescent="0.25">
      <c r="A2" t="s">
        <v>1</v>
      </c>
      <c r="B2">
        <v>3000</v>
      </c>
      <c r="H2">
        <v>25000</v>
      </c>
    </row>
    <row r="3" spans="1:8" x14ac:dyDescent="0.25">
      <c r="A3" t="s">
        <v>2</v>
      </c>
      <c r="B3">
        <v>1.9999999552965164E-2</v>
      </c>
      <c r="D3">
        <v>1</v>
      </c>
      <c r="E3">
        <v>3000</v>
      </c>
      <c r="F3">
        <v>499.9999888241291</v>
      </c>
      <c r="G3">
        <v>2500.0000111758709</v>
      </c>
      <c r="H3">
        <v>22499.999988824129</v>
      </c>
    </row>
    <row r="4" spans="1:8" x14ac:dyDescent="0.25">
      <c r="A4" t="s">
        <v>3</v>
      </c>
      <c r="B4">
        <v>10</v>
      </c>
      <c r="D4">
        <v>2</v>
      </c>
      <c r="E4">
        <v>3000</v>
      </c>
      <c r="F4">
        <v>449.99998971819878</v>
      </c>
      <c r="G4">
        <v>2550.0000102818012</v>
      </c>
      <c r="H4">
        <v>19949.999978542328</v>
      </c>
    </row>
    <row r="5" spans="1:8" x14ac:dyDescent="0.25">
      <c r="D5">
        <v>3</v>
      </c>
      <c r="E5">
        <v>3000</v>
      </c>
      <c r="F5">
        <v>398.99999065250159</v>
      </c>
      <c r="G5">
        <v>2601.0000093474982</v>
      </c>
      <c r="H5">
        <v>17348.999969194829</v>
      </c>
    </row>
    <row r="6" spans="1:8" x14ac:dyDescent="0.25">
      <c r="D6">
        <v>4</v>
      </c>
      <c r="E6">
        <v>3000</v>
      </c>
      <c r="F6">
        <v>346.97999162828921</v>
      </c>
      <c r="G6">
        <v>2653.0200083717109</v>
      </c>
      <c r="H6">
        <v>14695.979960823119</v>
      </c>
    </row>
    <row r="7" spans="1:8" x14ac:dyDescent="0.25">
      <c r="D7">
        <v>5</v>
      </c>
      <c r="E7">
        <v>3000</v>
      </c>
      <c r="F7">
        <v>293.91959264684738</v>
      </c>
      <c r="G7">
        <v>2706.0804073531526</v>
      </c>
      <c r="H7">
        <v>11989.899553469966</v>
      </c>
    </row>
    <row r="8" spans="1:8" x14ac:dyDescent="0.25">
      <c r="D8">
        <v>6</v>
      </c>
      <c r="E8">
        <v>3000</v>
      </c>
      <c r="F8">
        <v>239.79798570949654</v>
      </c>
      <c r="G8">
        <v>2760.2020142905035</v>
      </c>
      <c r="H8">
        <v>9229.6975391794622</v>
      </c>
    </row>
    <row r="9" spans="1:8" x14ac:dyDescent="0.25">
      <c r="D9">
        <v>7</v>
      </c>
      <c r="E9">
        <v>3000</v>
      </c>
      <c r="F9">
        <v>184.59394665759291</v>
      </c>
      <c r="G9">
        <v>2815.4060533424072</v>
      </c>
      <c r="H9">
        <v>6414.291485837055</v>
      </c>
    </row>
    <row r="10" spans="1:8" x14ac:dyDescent="0.25">
      <c r="D10">
        <v>8</v>
      </c>
      <c r="E10">
        <v>3000</v>
      </c>
      <c r="F10">
        <v>128.28582684932937</v>
      </c>
      <c r="G10">
        <v>2871.7141731506708</v>
      </c>
      <c r="H10">
        <v>3542.5773126863842</v>
      </c>
    </row>
    <row r="11" spans="1:8" x14ac:dyDescent="0.25">
      <c r="D11">
        <v>9</v>
      </c>
      <c r="E11">
        <v>3000</v>
      </c>
      <c r="F11">
        <v>70.851544670072215</v>
      </c>
      <c r="G11">
        <v>2929.1484553299279</v>
      </c>
      <c r="H11">
        <v>613.42885735645632</v>
      </c>
    </row>
    <row r="12" spans="1:8" x14ac:dyDescent="0.25">
      <c r="D12">
        <v>10</v>
      </c>
      <c r="E12">
        <v>625.69742280335856</v>
      </c>
      <c r="F12">
        <v>12.268576872905058</v>
      </c>
      <c r="G12">
        <v>613.42884593045346</v>
      </c>
      <c r="H12">
        <v>-1.1426002856751438E-5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029C6-70AF-47E1-9919-372B23FAC37F}">
  <sheetPr codeName="Hoja2"/>
  <dimension ref="A1:H12"/>
  <sheetViews>
    <sheetView workbookViewId="0">
      <selection activeCell="H12" sqref="H12"/>
    </sheetView>
  </sheetViews>
  <sheetFormatPr baseColWidth="10" defaultRowHeight="15" x14ac:dyDescent="0.25"/>
  <cols>
    <col min="1" max="1" width="17.28515625" customWidth="1"/>
    <col min="7" max="7" width="14" customWidth="1"/>
    <col min="8" max="8" width="13.28515625" customWidth="1"/>
  </cols>
  <sheetData>
    <row r="1" spans="1:8" x14ac:dyDescent="0.25">
      <c r="A1" t="s">
        <v>0</v>
      </c>
      <c r="B1">
        <v>25000</v>
      </c>
      <c r="D1" t="s">
        <v>5</v>
      </c>
      <c r="E1" t="s">
        <v>1</v>
      </c>
      <c r="F1" t="s">
        <v>6</v>
      </c>
      <c r="G1" t="s">
        <v>9</v>
      </c>
      <c r="H1" t="s">
        <v>8</v>
      </c>
    </row>
    <row r="2" spans="1:8" x14ac:dyDescent="0.25">
      <c r="A2" t="s">
        <v>1</v>
      </c>
      <c r="B2">
        <v>3000</v>
      </c>
      <c r="D2">
        <v>0</v>
      </c>
      <c r="H2">
        <f>B1</f>
        <v>25000</v>
      </c>
    </row>
    <row r="3" spans="1:8" x14ac:dyDescent="0.25">
      <c r="A3" t="s">
        <v>2</v>
      </c>
      <c r="B3" s="1">
        <v>0.02</v>
      </c>
      <c r="D3">
        <v>1</v>
      </c>
      <c r="E3">
        <f>$B$2</f>
        <v>3000</v>
      </c>
      <c r="F3">
        <f>H2*$B$3</f>
        <v>500</v>
      </c>
      <c r="G3">
        <f>E3-F3</f>
        <v>2500</v>
      </c>
      <c r="H3">
        <f>H2-G3</f>
        <v>22500</v>
      </c>
    </row>
    <row r="4" spans="1:8" x14ac:dyDescent="0.25">
      <c r="A4" t="s">
        <v>3</v>
      </c>
      <c r="B4">
        <f>-((LOG(1-((B1*B3/B2)))/(LOG(1+B3))))</f>
        <v>9.2069377495746512</v>
      </c>
      <c r="D4">
        <v>2</v>
      </c>
      <c r="E4">
        <f t="shared" ref="E4:E11" si="0">$B$2</f>
        <v>3000</v>
      </c>
      <c r="F4">
        <f t="shared" ref="F4:F10" si="1">H3*$B$3</f>
        <v>450</v>
      </c>
      <c r="G4">
        <f t="shared" ref="G4:G10" si="2">E4-F4</f>
        <v>2550</v>
      </c>
      <c r="H4">
        <f t="shared" ref="H4:H10" si="3">H3-G4</f>
        <v>19950</v>
      </c>
    </row>
    <row r="5" spans="1:8" x14ac:dyDescent="0.25">
      <c r="A5" t="s">
        <v>4</v>
      </c>
      <c r="D5">
        <v>3</v>
      </c>
      <c r="E5">
        <f t="shared" si="0"/>
        <v>3000</v>
      </c>
      <c r="F5">
        <f t="shared" si="1"/>
        <v>399</v>
      </c>
      <c r="G5">
        <f t="shared" si="2"/>
        <v>2601</v>
      </c>
      <c r="H5">
        <f t="shared" si="3"/>
        <v>17349</v>
      </c>
    </row>
    <row r="6" spans="1:8" x14ac:dyDescent="0.25">
      <c r="D6">
        <v>4</v>
      </c>
      <c r="E6">
        <f t="shared" si="0"/>
        <v>3000</v>
      </c>
      <c r="F6">
        <f t="shared" si="1"/>
        <v>346.98</v>
      </c>
      <c r="G6">
        <f t="shared" si="2"/>
        <v>2653.02</v>
      </c>
      <c r="H6">
        <f t="shared" si="3"/>
        <v>14695.98</v>
      </c>
    </row>
    <row r="7" spans="1:8" x14ac:dyDescent="0.25">
      <c r="D7">
        <v>5</v>
      </c>
      <c r="E7">
        <f t="shared" si="0"/>
        <v>3000</v>
      </c>
      <c r="F7">
        <f t="shared" si="1"/>
        <v>293.9196</v>
      </c>
      <c r="G7">
        <f t="shared" si="2"/>
        <v>2706.0803999999998</v>
      </c>
      <c r="H7">
        <f t="shared" si="3"/>
        <v>11989.899600000001</v>
      </c>
    </row>
    <row r="8" spans="1:8" x14ac:dyDescent="0.25">
      <c r="D8">
        <v>6</v>
      </c>
      <c r="E8">
        <f t="shared" si="0"/>
        <v>3000</v>
      </c>
      <c r="F8">
        <f t="shared" si="1"/>
        <v>239.79799200000002</v>
      </c>
      <c r="G8">
        <f t="shared" si="2"/>
        <v>2760.2020080000002</v>
      </c>
      <c r="H8">
        <f t="shared" si="3"/>
        <v>9229.6975920000004</v>
      </c>
    </row>
    <row r="9" spans="1:8" x14ac:dyDescent="0.25">
      <c r="D9">
        <v>7</v>
      </c>
      <c r="E9">
        <f t="shared" si="0"/>
        <v>3000</v>
      </c>
      <c r="F9">
        <f t="shared" si="1"/>
        <v>184.59395184000002</v>
      </c>
      <c r="G9">
        <f t="shared" si="2"/>
        <v>2815.40604816</v>
      </c>
      <c r="H9">
        <f t="shared" si="3"/>
        <v>6414.2915438400005</v>
      </c>
    </row>
    <row r="10" spans="1:8" x14ac:dyDescent="0.25">
      <c r="D10">
        <v>8</v>
      </c>
      <c r="E10">
        <f t="shared" si="0"/>
        <v>3000</v>
      </c>
      <c r="F10">
        <f t="shared" si="1"/>
        <v>128.28583087680002</v>
      </c>
      <c r="G10">
        <f t="shared" si="2"/>
        <v>2871.7141691232</v>
      </c>
      <c r="H10">
        <f t="shared" si="3"/>
        <v>3542.5773747168005</v>
      </c>
    </row>
    <row r="11" spans="1:8" x14ac:dyDescent="0.25">
      <c r="D11">
        <v>9</v>
      </c>
      <c r="E11">
        <f t="shared" si="0"/>
        <v>3000</v>
      </c>
      <c r="F11">
        <f>H10*$B$3</f>
        <v>70.851547494336018</v>
      </c>
      <c r="G11">
        <f>E11-F11</f>
        <v>2929.148452505664</v>
      </c>
      <c r="H11">
        <f>H10-G11</f>
        <v>613.42892221113652</v>
      </c>
    </row>
    <row r="12" spans="1:8" x14ac:dyDescent="0.25">
      <c r="D12">
        <v>10</v>
      </c>
      <c r="E12">
        <f>H11*B3+H11</f>
        <v>625.69750065535925</v>
      </c>
      <c r="F12">
        <f>H11*$B$3</f>
        <v>12.268578444222731</v>
      </c>
      <c r="G12">
        <f>E12-F12</f>
        <v>613.42892221113652</v>
      </c>
      <c r="H12">
        <f>H11-G12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Hoja20</vt:lpstr>
      <vt:lpstr>Hoja21</vt:lpstr>
      <vt:lpstr>Hoja3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ericka gonzalez</dc:creator>
  <cp:lastModifiedBy>ericka gonzalez</cp:lastModifiedBy>
  <dcterms:created xsi:type="dcterms:W3CDTF">2019-02-21T01:15:37Z</dcterms:created>
  <dcterms:modified xsi:type="dcterms:W3CDTF">2019-03-13T19:56:18Z</dcterms:modified>
</cp:coreProperties>
</file>